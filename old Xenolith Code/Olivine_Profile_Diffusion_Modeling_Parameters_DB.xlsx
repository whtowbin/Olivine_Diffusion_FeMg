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rytowbin/Projects/Olivine_Diffusion_FeMg/"/>
    </mc:Choice>
  </mc:AlternateContent>
  <xr:revisionPtr revIDLastSave="0" documentId="13_ncr:1_{726F81D3-996A-234F-90B1-33E54B4D00F5}" xr6:coauthVersionLast="47" xr6:coauthVersionMax="47" xr10:uidLastSave="{00000000-0000-0000-0000-000000000000}"/>
  <bookViews>
    <workbookView xWindow="-640" yWindow="13920" windowWidth="28800" windowHeight="17540" xr2:uid="{4BF80DE2-54EF-754E-B733-C83BF6E05191}"/>
  </bookViews>
  <sheets>
    <sheet name="Sheet1" sheetId="1" r:id="rId1"/>
    <sheet name="alt as of 7 19 22" sheetId="3" r:id="rId2"/>
    <sheet name="units" sheetId="2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T22" i="1" l="1"/>
  <c r="T23" i="1"/>
  <c r="T24" i="1"/>
  <c r="T25" i="1"/>
  <c r="T26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30" i="1"/>
  <c r="F39" i="1" l="1"/>
  <c r="G39" i="1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</calcChain>
</file>

<file path=xl/sharedStrings.xml><?xml version="1.0" encoding="utf-8"?>
<sst xmlns="http://schemas.openxmlformats.org/spreadsheetml/2006/main" count="297" uniqueCount="104">
  <si>
    <t>Sample</t>
  </si>
  <si>
    <t>File_Name</t>
  </si>
  <si>
    <t>Type</t>
  </si>
  <si>
    <t>Prof Number</t>
  </si>
  <si>
    <t>phi1</t>
  </si>
  <si>
    <t>Phi</t>
  </si>
  <si>
    <t>phi2</t>
  </si>
  <si>
    <t>prof_angle</t>
  </si>
  <si>
    <t>edge_x1</t>
  </si>
  <si>
    <t>edge_x2</t>
  </si>
  <si>
    <t>edge_c</t>
  </si>
  <si>
    <t>center_c</t>
  </si>
  <si>
    <t>T</t>
  </si>
  <si>
    <t>FO2</t>
  </si>
  <si>
    <t>GCB1A_R31_Ol5</t>
  </si>
  <si>
    <t>EMP</t>
  </si>
  <si>
    <t>BSE Profile</t>
  </si>
  <si>
    <t>AZ18_WHT01_MP_Big_Ol3</t>
  </si>
  <si>
    <t>AZ18_WHT06_MP_Big_Ol2</t>
  </si>
  <si>
    <t>AZ18_WHT06_MP_Big_Ol1</t>
  </si>
  <si>
    <t>GCB_S_Ol23</t>
  </si>
  <si>
    <t>AZ18_WHT01_MP_Big_Ol1</t>
  </si>
  <si>
    <t>AZ18 WHT01_bigol1_overgrowth_prof_1</t>
  </si>
  <si>
    <t>AZ18_WHT01_MP_Big_Ol2</t>
  </si>
  <si>
    <t>AZ18 WHT01_bigol2_overgrowth_prof_1</t>
  </si>
  <si>
    <t>GCB_S_Ol6</t>
  </si>
  <si>
    <t>EMP/BSE</t>
  </si>
  <si>
    <t>AZ18_Scoria_Ol43</t>
  </si>
  <si>
    <t>P</t>
  </si>
  <si>
    <t>dt</t>
  </si>
  <si>
    <t>dx</t>
  </si>
  <si>
    <t>degrees</t>
  </si>
  <si>
    <t>degrees from positive x axis (east)</t>
  </si>
  <si>
    <t>µm</t>
  </si>
  <si>
    <t>Fo#</t>
  </si>
  <si>
    <t>seconds</t>
  </si>
  <si>
    <t>microns</t>
  </si>
  <si>
    <t>Pa</t>
  </si>
  <si>
    <t>˚C</t>
  </si>
  <si>
    <t>inflection_x</t>
  </si>
  <si>
    <t>AZ18 WHT01_Ol_62_prof_1</t>
  </si>
  <si>
    <t>Category</t>
  </si>
  <si>
    <t>AZ18 WHT01_Ol_62</t>
  </si>
  <si>
    <t>xenocryst</t>
  </si>
  <si>
    <t>AZ18 WHT01_Ol_63_prof_1</t>
  </si>
  <si>
    <t>AZ18 WHT01_Ol_63</t>
  </si>
  <si>
    <t>AZ18 WHT01_Ol_180_prof_1</t>
  </si>
  <si>
    <t>AZ18 WHT01_Ol_180</t>
  </si>
  <si>
    <t>AZ18 WHT01_Ol_181_prof_1</t>
  </si>
  <si>
    <t>AZ18 WHT01_Ol_181</t>
  </si>
  <si>
    <t>AZ18 WHT01_Ol_190_prof_1</t>
  </si>
  <si>
    <t>AZ18 WHT01_Ol_190</t>
  </si>
  <si>
    <t>AZ18 WHT01_Ol_191_prof_1</t>
  </si>
  <si>
    <t>AZ18 WHT01_Ol_191</t>
  </si>
  <si>
    <t>AZ18 WHT01_Ol_192_prof_1</t>
  </si>
  <si>
    <t>AZ18 WHT01_Ol_192</t>
  </si>
  <si>
    <t>AZ18 WHT01_Ol_193</t>
  </si>
  <si>
    <t>AZ18 WHT01_Ol_193_prof_1</t>
  </si>
  <si>
    <t>GCB1A R31_MP_Ol5_prof_1</t>
  </si>
  <si>
    <t>GCB1A R31_MP_Ol5_prof_2</t>
  </si>
  <si>
    <t>AZ18 WHT06_ol_overgrowth2_prof_1</t>
  </si>
  <si>
    <t>Notes</t>
  </si>
  <si>
    <t>AZ18 WHT01_Ol_181_prof_2</t>
  </si>
  <si>
    <t>Profile Angle is a bit poorly constrained</t>
  </si>
  <si>
    <t>exterior</t>
  </si>
  <si>
    <t>Inflection_Uncert</t>
  </si>
  <si>
    <t>Profile Might not go fully to the edge</t>
  </si>
  <si>
    <t>Model</t>
  </si>
  <si>
    <t>yes</t>
  </si>
  <si>
    <t>Log delta QFM</t>
  </si>
  <si>
    <t>FO2_dQFM</t>
  </si>
  <si>
    <t>AZ18 WHT06_ol_overgrowth1_prof_1</t>
  </si>
  <si>
    <t>inflection_c</t>
  </si>
  <si>
    <t>4, 30</t>
  </si>
  <si>
    <t>inflection could also be at 30 µm</t>
  </si>
  <si>
    <t>3, 23</t>
  </si>
  <si>
    <t>3, 26</t>
  </si>
  <si>
    <t>2, 31</t>
  </si>
  <si>
    <t>26 cut from 191</t>
  </si>
  <si>
    <t>5, 31</t>
  </si>
  <si>
    <t>big ol2 azwht01 15</t>
  </si>
  <si>
    <t>0, 31</t>
  </si>
  <si>
    <t>0.5, 23</t>
  </si>
  <si>
    <t>0.5, 26</t>
  </si>
  <si>
    <t>Phenocryst_S_ol2_prof_1</t>
  </si>
  <si>
    <t>AZ18 WHT06_ol40_prof 2</t>
  </si>
  <si>
    <t>Xenolith WHT01</t>
  </si>
  <si>
    <t>Xenolith WHT06</t>
  </si>
  <si>
    <t>Xenolith WHT01 Contact Overgrowth</t>
  </si>
  <si>
    <t>AZ18 WHT06_ol43_prof 1</t>
  </si>
  <si>
    <t>AZ18 WHT06_ol48_prof 1</t>
  </si>
  <si>
    <t>AZ18_Scoria_Ol48</t>
  </si>
  <si>
    <t>Xenocryst_ol6_prof_1</t>
  </si>
  <si>
    <t>Xenocryst_ol23_prof_1</t>
  </si>
  <si>
    <t>Xenocryst_ol6_prof_2</t>
  </si>
  <si>
    <t>1,19.5</t>
  </si>
  <si>
    <t>1,24.6</t>
  </si>
  <si>
    <t>2,35</t>
  </si>
  <si>
    <t>AZ18 WHT06_ol44_prof 1 filename is AZ18 WHT06_ol44_prof 1</t>
  </si>
  <si>
    <t>Xenolith GCB1</t>
  </si>
  <si>
    <t>Xenocryst</t>
  </si>
  <si>
    <t>Histogram_Color</t>
  </si>
  <si>
    <t>10, 33</t>
  </si>
  <si>
    <t>I think the dt and dx are larger here since this is a longer timescale phenocryst 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</si>
</sst>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Menlo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11" fontId="1" fillId="0" borderId="0" xfId="0" applyNumberFormat="1" applyFont="1"/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57E0-7F0F-D849-AAD1-AAB451BA4D11}">
  <dimension ref="A1:X48"/>
  <sheetViews>
    <sheetView tabSelected="1" zoomScale="84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O7" sqref="O7"/>
    </sheetView>
  </sheetViews>
  <sheetFormatPr baseColWidth="10" defaultRowHeight="16" x14ac:dyDescent="0.2"/>
  <cols>
    <col min="1" max="1" width="52.83203125" customWidth="1"/>
    <col min="2" max="2" width="32.5" customWidth="1"/>
    <col min="3" max="3" width="38.1640625" customWidth="1"/>
    <col min="5" max="5" width="13" customWidth="1"/>
    <col min="9" max="9" width="14.83203125" customWidth="1"/>
    <col min="10" max="10" width="22.83203125" customWidth="1"/>
    <col min="13" max="13" width="17.33203125" customWidth="1"/>
    <col min="14" max="14" width="21.5" customWidth="1"/>
    <col min="17" max="17" width="16.6640625" customWidth="1"/>
    <col min="20" max="20" width="22.83203125" customWidth="1"/>
    <col min="21" max="21" width="21.5" customWidth="1"/>
    <col min="23" max="23" width="21.33203125" customWidth="1"/>
    <col min="24" max="24" width="36.1640625" style="7" customWidth="1"/>
  </cols>
  <sheetData>
    <row r="1" spans="1:24" ht="17" x14ac:dyDescent="0.2">
      <c r="A1" t="s">
        <v>0</v>
      </c>
      <c r="B1" t="s">
        <v>41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t="s">
        <v>6</v>
      </c>
      <c r="I1" t="s">
        <v>7</v>
      </c>
      <c r="J1" t="s">
        <v>67</v>
      </c>
      <c r="K1" s="1" t="s">
        <v>8</v>
      </c>
      <c r="L1" s="1" t="s">
        <v>9</v>
      </c>
      <c r="M1" s="1" t="s">
        <v>39</v>
      </c>
      <c r="N1" s="1" t="s">
        <v>65</v>
      </c>
      <c r="O1" s="1" t="s">
        <v>10</v>
      </c>
      <c r="P1" s="1" t="s">
        <v>11</v>
      </c>
      <c r="Q1" s="1" t="s">
        <v>72</v>
      </c>
      <c r="R1" s="1" t="s">
        <v>12</v>
      </c>
      <c r="S1" s="1" t="s">
        <v>70</v>
      </c>
      <c r="T1" s="1" t="s">
        <v>28</v>
      </c>
      <c r="U1" s="1" t="s">
        <v>29</v>
      </c>
      <c r="V1" s="1" t="s">
        <v>30</v>
      </c>
      <c r="W1" s="1" t="s">
        <v>101</v>
      </c>
      <c r="X1" s="6" t="s">
        <v>61</v>
      </c>
    </row>
    <row r="2" spans="1:24" x14ac:dyDescent="0.2">
      <c r="A2" t="s">
        <v>14</v>
      </c>
      <c r="B2" t="s">
        <v>99</v>
      </c>
      <c r="C2" t="s">
        <v>58</v>
      </c>
      <c r="D2" t="s">
        <v>15</v>
      </c>
      <c r="E2">
        <v>1</v>
      </c>
      <c r="F2">
        <v>168.5</v>
      </c>
      <c r="G2">
        <v>25.8</v>
      </c>
      <c r="H2">
        <v>298.5</v>
      </c>
      <c r="I2">
        <v>175.5</v>
      </c>
      <c r="J2" t="s">
        <v>68</v>
      </c>
      <c r="K2" s="1">
        <v>0</v>
      </c>
      <c r="L2" s="1">
        <v>48</v>
      </c>
      <c r="M2" t="s">
        <v>82</v>
      </c>
      <c r="N2">
        <v>5</v>
      </c>
      <c r="O2">
        <v>91.5</v>
      </c>
      <c r="P2">
        <v>90.25</v>
      </c>
      <c r="Q2" s="1">
        <v>93</v>
      </c>
      <c r="R2" s="1">
        <v>1250</v>
      </c>
      <c r="S2" s="1">
        <v>0.3</v>
      </c>
      <c r="T2" s="3">
        <f>1000000000/2</f>
        <v>500000000</v>
      </c>
      <c r="U2">
        <v>60</v>
      </c>
      <c r="V2" s="1">
        <v>0.5</v>
      </c>
    </row>
    <row r="3" spans="1:24" x14ac:dyDescent="0.2">
      <c r="A3" t="s">
        <v>14</v>
      </c>
      <c r="B3" t="s">
        <v>99</v>
      </c>
      <c r="D3" t="s">
        <v>16</v>
      </c>
      <c r="E3">
        <v>3</v>
      </c>
      <c r="F3">
        <v>168.5</v>
      </c>
      <c r="G3">
        <v>25.8</v>
      </c>
      <c r="H3">
        <v>298.5</v>
      </c>
      <c r="I3">
        <v>-9</v>
      </c>
      <c r="R3" s="1">
        <v>1250</v>
      </c>
      <c r="S3" s="1">
        <v>0.3</v>
      </c>
      <c r="T3" s="3">
        <f t="shared" ref="T3:T26" si="0">1000000000/2</f>
        <v>500000000</v>
      </c>
      <c r="U3">
        <v>60</v>
      </c>
      <c r="V3" s="1">
        <v>0.5</v>
      </c>
    </row>
    <row r="4" spans="1:24" x14ac:dyDescent="0.2">
      <c r="A4" t="s">
        <v>14</v>
      </c>
      <c r="B4" t="s">
        <v>99</v>
      </c>
      <c r="C4" t="s">
        <v>59</v>
      </c>
      <c r="D4" t="s">
        <v>15</v>
      </c>
      <c r="E4">
        <v>2</v>
      </c>
      <c r="F4">
        <v>168.5</v>
      </c>
      <c r="G4">
        <v>25.8</v>
      </c>
      <c r="H4">
        <v>298.5</v>
      </c>
      <c r="I4">
        <v>100</v>
      </c>
      <c r="J4" t="s">
        <v>68</v>
      </c>
      <c r="K4">
        <v>0</v>
      </c>
      <c r="L4">
        <v>55</v>
      </c>
      <c r="M4" t="s">
        <v>83</v>
      </c>
      <c r="N4">
        <v>5</v>
      </c>
      <c r="O4">
        <v>91.5</v>
      </c>
      <c r="P4">
        <v>90.46</v>
      </c>
      <c r="Q4">
        <v>93</v>
      </c>
      <c r="R4" s="1">
        <v>1250</v>
      </c>
      <c r="S4" s="1">
        <v>0.3</v>
      </c>
      <c r="T4" s="3">
        <f t="shared" si="0"/>
        <v>500000000</v>
      </c>
      <c r="U4">
        <v>60</v>
      </c>
      <c r="V4" s="1">
        <v>0.5</v>
      </c>
    </row>
    <row r="5" spans="1:24" x14ac:dyDescent="0.2">
      <c r="A5" t="s">
        <v>14</v>
      </c>
      <c r="B5" t="s">
        <v>99</v>
      </c>
      <c r="D5" t="s">
        <v>16</v>
      </c>
      <c r="E5">
        <v>4</v>
      </c>
      <c r="F5">
        <v>168.5</v>
      </c>
      <c r="G5">
        <v>25.8</v>
      </c>
      <c r="H5">
        <v>298.5</v>
      </c>
      <c r="I5">
        <v>104</v>
      </c>
      <c r="R5" s="1">
        <v>1250</v>
      </c>
      <c r="S5" s="1">
        <v>0.3</v>
      </c>
      <c r="T5" s="3">
        <f t="shared" si="0"/>
        <v>500000000</v>
      </c>
      <c r="U5">
        <v>60</v>
      </c>
      <c r="V5" s="1">
        <v>0.5</v>
      </c>
    </row>
    <row r="6" spans="1:24" x14ac:dyDescent="0.2">
      <c r="A6" t="s">
        <v>17</v>
      </c>
      <c r="F6">
        <v>111.3</v>
      </c>
      <c r="G6">
        <v>194</v>
      </c>
      <c r="H6">
        <v>28.2</v>
      </c>
      <c r="R6" s="1">
        <v>1250</v>
      </c>
      <c r="S6" s="1">
        <v>0.3</v>
      </c>
      <c r="T6" s="3">
        <f t="shared" si="0"/>
        <v>500000000</v>
      </c>
      <c r="U6">
        <v>60</v>
      </c>
      <c r="V6" s="1">
        <v>0.5</v>
      </c>
    </row>
    <row r="7" spans="1:24" x14ac:dyDescent="0.2">
      <c r="A7" t="s">
        <v>18</v>
      </c>
      <c r="B7" t="s">
        <v>87</v>
      </c>
      <c r="C7" t="s">
        <v>60</v>
      </c>
      <c r="D7" t="s">
        <v>15</v>
      </c>
      <c r="E7">
        <v>1</v>
      </c>
      <c r="F7">
        <v>132.69999999999999</v>
      </c>
      <c r="G7">
        <v>34.5</v>
      </c>
      <c r="H7">
        <v>312</v>
      </c>
      <c r="I7">
        <v>5</v>
      </c>
      <c r="J7" t="s">
        <v>68</v>
      </c>
      <c r="K7">
        <v>2</v>
      </c>
      <c r="L7">
        <v>48</v>
      </c>
      <c r="M7">
        <v>18</v>
      </c>
      <c r="N7">
        <v>4</v>
      </c>
      <c r="O7">
        <v>92.93</v>
      </c>
      <c r="P7">
        <v>90.5</v>
      </c>
      <c r="R7" s="1">
        <v>1250</v>
      </c>
      <c r="S7" s="1">
        <v>0.3</v>
      </c>
      <c r="T7" s="3">
        <f t="shared" si="0"/>
        <v>500000000</v>
      </c>
      <c r="U7">
        <v>60</v>
      </c>
      <c r="V7" s="1">
        <v>0.5</v>
      </c>
    </row>
    <row r="8" spans="1:24" x14ac:dyDescent="0.2">
      <c r="A8" t="s">
        <v>19</v>
      </c>
      <c r="B8" t="s">
        <v>87</v>
      </c>
      <c r="C8" t="s">
        <v>71</v>
      </c>
      <c r="D8" t="s">
        <v>15</v>
      </c>
      <c r="E8">
        <v>1</v>
      </c>
      <c r="F8">
        <v>88.6</v>
      </c>
      <c r="G8">
        <v>78.8</v>
      </c>
      <c r="H8">
        <v>292.2</v>
      </c>
      <c r="I8">
        <v>40</v>
      </c>
      <c r="J8" t="s">
        <v>68</v>
      </c>
      <c r="K8">
        <v>0</v>
      </c>
      <c r="L8">
        <v>34</v>
      </c>
      <c r="M8">
        <v>17</v>
      </c>
      <c r="N8">
        <v>5</v>
      </c>
      <c r="O8">
        <v>93.2</v>
      </c>
      <c r="P8">
        <v>90.7</v>
      </c>
      <c r="R8" s="1">
        <v>1250</v>
      </c>
      <c r="S8" s="1">
        <v>0.3</v>
      </c>
      <c r="T8" s="3">
        <f t="shared" si="0"/>
        <v>500000000</v>
      </c>
      <c r="U8">
        <v>60</v>
      </c>
      <c r="V8" s="1">
        <v>0.5</v>
      </c>
    </row>
    <row r="9" spans="1:24" x14ac:dyDescent="0.2">
      <c r="A9" t="s">
        <v>21</v>
      </c>
      <c r="B9" t="s">
        <v>86</v>
      </c>
      <c r="C9" t="s">
        <v>22</v>
      </c>
      <c r="D9" t="s">
        <v>15</v>
      </c>
      <c r="E9">
        <v>1</v>
      </c>
      <c r="F9">
        <v>202.3</v>
      </c>
      <c r="G9">
        <v>103.8</v>
      </c>
      <c r="H9">
        <v>320.5</v>
      </c>
      <c r="I9">
        <v>109</v>
      </c>
      <c r="J9" t="s">
        <v>68</v>
      </c>
      <c r="K9">
        <v>3</v>
      </c>
      <c r="L9">
        <v>75</v>
      </c>
      <c r="M9" t="s">
        <v>102</v>
      </c>
      <c r="N9">
        <v>2</v>
      </c>
      <c r="O9">
        <v>91.4</v>
      </c>
      <c r="P9">
        <v>89.65</v>
      </c>
      <c r="Q9">
        <v>93</v>
      </c>
      <c r="R9" s="1">
        <v>1250</v>
      </c>
      <c r="S9" s="1">
        <v>0.3</v>
      </c>
      <c r="T9" s="3">
        <f t="shared" si="0"/>
        <v>500000000</v>
      </c>
      <c r="U9">
        <v>60</v>
      </c>
      <c r="V9" s="1">
        <v>0.5</v>
      </c>
    </row>
    <row r="10" spans="1:24" x14ac:dyDescent="0.2">
      <c r="A10" t="s">
        <v>21</v>
      </c>
      <c r="B10" t="s">
        <v>86</v>
      </c>
      <c r="D10" t="s">
        <v>16</v>
      </c>
      <c r="E10">
        <v>2</v>
      </c>
      <c r="F10">
        <v>202.3</v>
      </c>
      <c r="G10">
        <v>103.8</v>
      </c>
      <c r="H10">
        <v>320.5</v>
      </c>
      <c r="I10">
        <v>90</v>
      </c>
      <c r="R10" s="1">
        <v>1250</v>
      </c>
      <c r="S10" s="1">
        <v>0.3</v>
      </c>
      <c r="T10" s="3">
        <f t="shared" si="0"/>
        <v>500000000</v>
      </c>
      <c r="U10">
        <v>60</v>
      </c>
      <c r="V10" s="1">
        <v>0.5</v>
      </c>
    </row>
    <row r="11" spans="1:24" x14ac:dyDescent="0.2">
      <c r="A11" t="s">
        <v>23</v>
      </c>
      <c r="B11" t="s">
        <v>86</v>
      </c>
      <c r="C11" t="s">
        <v>24</v>
      </c>
      <c r="D11" t="s">
        <v>15</v>
      </c>
      <c r="E11">
        <v>1</v>
      </c>
      <c r="F11">
        <v>7</v>
      </c>
      <c r="G11">
        <v>150.9</v>
      </c>
      <c r="H11">
        <v>245.3</v>
      </c>
      <c r="I11">
        <v>113</v>
      </c>
      <c r="J11" t="s">
        <v>68</v>
      </c>
      <c r="K11">
        <v>0</v>
      </c>
      <c r="L11">
        <v>47</v>
      </c>
      <c r="M11">
        <v>15</v>
      </c>
      <c r="N11">
        <v>5</v>
      </c>
      <c r="O11">
        <v>91.5</v>
      </c>
      <c r="P11">
        <v>89.68</v>
      </c>
      <c r="R11" s="1">
        <v>1250</v>
      </c>
      <c r="S11" s="1">
        <v>0.3</v>
      </c>
      <c r="T11" s="3">
        <f t="shared" si="0"/>
        <v>500000000</v>
      </c>
      <c r="U11">
        <v>60</v>
      </c>
      <c r="V11" s="1">
        <v>0.5</v>
      </c>
    </row>
    <row r="12" spans="1:24" x14ac:dyDescent="0.2">
      <c r="A12" t="s">
        <v>23</v>
      </c>
      <c r="B12" t="s">
        <v>86</v>
      </c>
      <c r="D12" t="s">
        <v>16</v>
      </c>
      <c r="E12">
        <v>2</v>
      </c>
      <c r="F12">
        <v>7</v>
      </c>
      <c r="G12">
        <v>150.9</v>
      </c>
      <c r="H12">
        <v>245.3</v>
      </c>
      <c r="I12">
        <v>90</v>
      </c>
      <c r="R12" s="1">
        <v>1250</v>
      </c>
      <c r="S12" s="1">
        <v>0.3</v>
      </c>
      <c r="T12" s="3">
        <f t="shared" si="0"/>
        <v>500000000</v>
      </c>
      <c r="U12">
        <v>60</v>
      </c>
      <c r="V12" s="1">
        <v>0.5</v>
      </c>
    </row>
    <row r="13" spans="1:24" x14ac:dyDescent="0.2">
      <c r="A13" t="s">
        <v>42</v>
      </c>
      <c r="B13" t="s">
        <v>86</v>
      </c>
      <c r="D13" t="s">
        <v>16</v>
      </c>
      <c r="E13">
        <v>1</v>
      </c>
      <c r="F13">
        <v>16.7</v>
      </c>
      <c r="G13">
        <v>17.399999999999999</v>
      </c>
      <c r="H13">
        <v>57.6</v>
      </c>
      <c r="I13">
        <v>170</v>
      </c>
      <c r="R13" s="1">
        <v>1250</v>
      </c>
      <c r="S13" s="1">
        <v>0.3</v>
      </c>
      <c r="T13" s="3">
        <f t="shared" si="0"/>
        <v>500000000</v>
      </c>
      <c r="U13">
        <v>60</v>
      </c>
      <c r="V13" s="1">
        <v>0.5</v>
      </c>
    </row>
    <row r="14" spans="1:24" x14ac:dyDescent="0.2">
      <c r="A14" t="s">
        <v>45</v>
      </c>
      <c r="B14" t="s">
        <v>86</v>
      </c>
      <c r="C14" t="s">
        <v>44</v>
      </c>
      <c r="D14" t="s">
        <v>26</v>
      </c>
      <c r="E14">
        <v>1</v>
      </c>
      <c r="F14">
        <v>77</v>
      </c>
      <c r="G14">
        <v>61.2</v>
      </c>
      <c r="H14">
        <v>334.2</v>
      </c>
      <c r="I14">
        <v>-80</v>
      </c>
      <c r="J14" t="s">
        <v>68</v>
      </c>
      <c r="K14">
        <v>2.5</v>
      </c>
      <c r="L14">
        <v>72</v>
      </c>
      <c r="M14">
        <v>24</v>
      </c>
      <c r="N14">
        <v>2</v>
      </c>
      <c r="O14">
        <v>91.46</v>
      </c>
      <c r="P14">
        <v>89.85</v>
      </c>
      <c r="R14" s="1">
        <v>1250</v>
      </c>
      <c r="S14" s="1">
        <v>0.3</v>
      </c>
      <c r="T14" s="3">
        <f t="shared" si="0"/>
        <v>500000000</v>
      </c>
      <c r="U14">
        <v>60</v>
      </c>
      <c r="V14" s="1">
        <v>0.5</v>
      </c>
    </row>
    <row r="15" spans="1:24" x14ac:dyDescent="0.2">
      <c r="A15" t="s">
        <v>47</v>
      </c>
      <c r="B15" t="s">
        <v>88</v>
      </c>
      <c r="C15" t="s">
        <v>46</v>
      </c>
      <c r="D15" t="s">
        <v>26</v>
      </c>
      <c r="E15">
        <v>1</v>
      </c>
      <c r="F15">
        <v>92.7</v>
      </c>
      <c r="G15">
        <v>125.7</v>
      </c>
      <c r="H15">
        <v>244.4</v>
      </c>
      <c r="I15">
        <v>180</v>
      </c>
      <c r="J15" t="s">
        <v>68</v>
      </c>
      <c r="K15">
        <v>0</v>
      </c>
      <c r="L15">
        <v>150</v>
      </c>
      <c r="M15">
        <v>22</v>
      </c>
      <c r="N15">
        <v>2</v>
      </c>
      <c r="O15" s="2">
        <v>82.7</v>
      </c>
      <c r="P15">
        <v>89.49</v>
      </c>
      <c r="R15" s="1">
        <v>1250</v>
      </c>
      <c r="S15" s="1">
        <v>0.3</v>
      </c>
      <c r="T15" s="3">
        <f t="shared" si="0"/>
        <v>500000000</v>
      </c>
      <c r="U15">
        <v>60</v>
      </c>
      <c r="V15" s="1">
        <v>0.5</v>
      </c>
    </row>
    <row r="16" spans="1:24" ht="17" x14ac:dyDescent="0.2">
      <c r="A16" t="s">
        <v>49</v>
      </c>
      <c r="B16" t="s">
        <v>88</v>
      </c>
      <c r="C16" t="s">
        <v>62</v>
      </c>
      <c r="D16" t="s">
        <v>15</v>
      </c>
      <c r="E16">
        <v>2</v>
      </c>
      <c r="F16">
        <v>23.5</v>
      </c>
      <c r="G16">
        <v>132.5</v>
      </c>
      <c r="H16">
        <v>359.4</v>
      </c>
      <c r="I16">
        <v>177</v>
      </c>
      <c r="J16" t="s">
        <v>68</v>
      </c>
      <c r="K16">
        <v>0</v>
      </c>
      <c r="L16">
        <v>150</v>
      </c>
      <c r="M16">
        <v>22</v>
      </c>
      <c r="N16">
        <v>2</v>
      </c>
      <c r="O16" s="2">
        <v>80</v>
      </c>
      <c r="P16">
        <v>89.7</v>
      </c>
      <c r="R16" s="1">
        <v>1250</v>
      </c>
      <c r="S16" s="1">
        <v>0.3</v>
      </c>
      <c r="T16" s="3">
        <f t="shared" si="0"/>
        <v>500000000</v>
      </c>
      <c r="U16">
        <v>60</v>
      </c>
      <c r="V16" s="1">
        <v>0.5</v>
      </c>
      <c r="X16" s="7" t="s">
        <v>63</v>
      </c>
    </row>
    <row r="17" spans="1:24" ht="17" x14ac:dyDescent="0.2">
      <c r="A17" t="s">
        <v>49</v>
      </c>
      <c r="B17" t="s">
        <v>88</v>
      </c>
      <c r="D17" t="s">
        <v>15</v>
      </c>
      <c r="E17">
        <v>1</v>
      </c>
      <c r="F17">
        <v>23.5</v>
      </c>
      <c r="G17">
        <v>132.5</v>
      </c>
      <c r="H17">
        <v>359.4</v>
      </c>
      <c r="I17">
        <v>177</v>
      </c>
      <c r="J17" t="s">
        <v>68</v>
      </c>
      <c r="K17">
        <v>0</v>
      </c>
      <c r="L17">
        <v>110</v>
      </c>
      <c r="M17">
        <v>0</v>
      </c>
      <c r="N17">
        <v>2</v>
      </c>
      <c r="O17" s="2">
        <v>81</v>
      </c>
      <c r="P17">
        <v>89.7</v>
      </c>
      <c r="R17" s="1">
        <v>1250</v>
      </c>
      <c r="S17" s="1">
        <v>0.3</v>
      </c>
      <c r="T17" s="3">
        <f t="shared" si="0"/>
        <v>500000000</v>
      </c>
      <c r="U17">
        <v>60</v>
      </c>
      <c r="V17" s="1">
        <v>0.5</v>
      </c>
      <c r="X17" s="7" t="s">
        <v>63</v>
      </c>
    </row>
    <row r="18" spans="1:24" ht="17" x14ac:dyDescent="0.2">
      <c r="A18" t="s">
        <v>51</v>
      </c>
      <c r="B18" t="s">
        <v>86</v>
      </c>
      <c r="C18" t="s">
        <v>50</v>
      </c>
      <c r="D18" t="s">
        <v>26</v>
      </c>
      <c r="E18">
        <v>1</v>
      </c>
      <c r="F18">
        <v>359.2</v>
      </c>
      <c r="G18">
        <v>11.6</v>
      </c>
      <c r="H18">
        <v>63.1</v>
      </c>
      <c r="I18">
        <v>-130</v>
      </c>
      <c r="J18" t="s">
        <v>68</v>
      </c>
      <c r="K18">
        <v>0</v>
      </c>
      <c r="L18">
        <v>80</v>
      </c>
      <c r="M18">
        <v>0</v>
      </c>
      <c r="O18">
        <v>91</v>
      </c>
      <c r="P18">
        <v>89.6</v>
      </c>
      <c r="R18" s="1">
        <v>1250</v>
      </c>
      <c r="S18" s="1">
        <v>0.3</v>
      </c>
      <c r="T18" s="3">
        <f t="shared" si="0"/>
        <v>500000000</v>
      </c>
      <c r="U18">
        <v>60</v>
      </c>
      <c r="V18" s="1">
        <v>0.5</v>
      </c>
      <c r="X18" s="7" t="s">
        <v>66</v>
      </c>
    </row>
    <row r="19" spans="1:24" x14ac:dyDescent="0.2">
      <c r="A19" t="s">
        <v>53</v>
      </c>
      <c r="B19" t="s">
        <v>86</v>
      </c>
      <c r="C19" t="s">
        <v>52</v>
      </c>
      <c r="D19" t="s">
        <v>26</v>
      </c>
      <c r="E19">
        <v>1</v>
      </c>
      <c r="F19">
        <v>281.8</v>
      </c>
      <c r="G19">
        <v>87.2</v>
      </c>
      <c r="H19">
        <v>358.8</v>
      </c>
      <c r="I19">
        <v>5</v>
      </c>
      <c r="J19" t="s">
        <v>68</v>
      </c>
      <c r="K19">
        <v>0</v>
      </c>
      <c r="L19">
        <v>100</v>
      </c>
      <c r="M19" t="s">
        <v>81</v>
      </c>
      <c r="N19">
        <v>5</v>
      </c>
      <c r="O19">
        <v>90.7</v>
      </c>
      <c r="P19">
        <v>89.65</v>
      </c>
      <c r="Q19">
        <v>91.5</v>
      </c>
      <c r="R19" s="1">
        <v>1250</v>
      </c>
      <c r="S19" s="1">
        <v>0.3</v>
      </c>
      <c r="T19" s="3">
        <f t="shared" si="0"/>
        <v>500000000</v>
      </c>
      <c r="U19">
        <v>60</v>
      </c>
      <c r="V19" s="1">
        <v>0.5</v>
      </c>
    </row>
    <row r="20" spans="1:24" ht="17" x14ac:dyDescent="0.2">
      <c r="A20" t="s">
        <v>55</v>
      </c>
      <c r="B20" t="s">
        <v>86</v>
      </c>
      <c r="C20" t="s">
        <v>54</v>
      </c>
      <c r="E20">
        <v>1</v>
      </c>
      <c r="F20">
        <v>52.6</v>
      </c>
      <c r="G20">
        <v>147.19999999999999</v>
      </c>
      <c r="H20">
        <v>191.9</v>
      </c>
      <c r="I20">
        <v>150</v>
      </c>
      <c r="J20" t="s">
        <v>68</v>
      </c>
      <c r="K20">
        <v>2</v>
      </c>
      <c r="L20">
        <v>90</v>
      </c>
      <c r="M20">
        <v>34</v>
      </c>
      <c r="N20">
        <v>5</v>
      </c>
      <c r="O20">
        <v>91.6</v>
      </c>
      <c r="P20">
        <v>89.6</v>
      </c>
      <c r="R20" s="1">
        <v>1250</v>
      </c>
      <c r="S20" s="1">
        <v>0.3</v>
      </c>
      <c r="T20" s="3">
        <f t="shared" si="0"/>
        <v>500000000</v>
      </c>
      <c r="U20">
        <v>60</v>
      </c>
      <c r="V20" s="1">
        <v>0.5</v>
      </c>
      <c r="X20" s="7" t="s">
        <v>74</v>
      </c>
    </row>
    <row r="21" spans="1:24" x14ac:dyDescent="0.2">
      <c r="A21" t="s">
        <v>56</v>
      </c>
      <c r="B21" t="s">
        <v>86</v>
      </c>
      <c r="C21" t="s">
        <v>57</v>
      </c>
      <c r="E21">
        <v>1</v>
      </c>
      <c r="F21">
        <v>332.7</v>
      </c>
      <c r="G21">
        <v>76.8</v>
      </c>
      <c r="H21">
        <v>16.899999999999999</v>
      </c>
      <c r="I21">
        <v>120</v>
      </c>
      <c r="J21" t="s">
        <v>68</v>
      </c>
      <c r="K21">
        <v>0</v>
      </c>
      <c r="L21">
        <v>100</v>
      </c>
      <c r="M21">
        <v>7</v>
      </c>
      <c r="O21">
        <v>91.5</v>
      </c>
      <c r="P21">
        <v>89.6</v>
      </c>
      <c r="R21" s="1">
        <v>1250</v>
      </c>
      <c r="S21" s="1">
        <v>0.3</v>
      </c>
      <c r="T21" s="3">
        <f t="shared" si="0"/>
        <v>500000000</v>
      </c>
      <c r="U21">
        <v>60</v>
      </c>
      <c r="V21" s="1">
        <v>0.5</v>
      </c>
    </row>
    <row r="22" spans="1:24" x14ac:dyDescent="0.2">
      <c r="A22" t="s">
        <v>25</v>
      </c>
      <c r="B22" t="s">
        <v>100</v>
      </c>
      <c r="C22" t="s">
        <v>92</v>
      </c>
      <c r="D22" t="s">
        <v>26</v>
      </c>
      <c r="E22">
        <v>1</v>
      </c>
      <c r="F22">
        <v>3.523117482259432</v>
      </c>
      <c r="G22">
        <v>88.973470090275285</v>
      </c>
      <c r="H22">
        <v>202.59329269589804</v>
      </c>
      <c r="I22">
        <v>8</v>
      </c>
      <c r="J22" t="s">
        <v>68</v>
      </c>
      <c r="K22">
        <v>0</v>
      </c>
      <c r="L22">
        <v>40</v>
      </c>
      <c r="M22" t="s">
        <v>95</v>
      </c>
      <c r="O22">
        <v>80</v>
      </c>
      <c r="P22">
        <v>90.48</v>
      </c>
      <c r="Q22">
        <v>84.7</v>
      </c>
      <c r="R22" s="1">
        <v>1250</v>
      </c>
      <c r="S22" s="1">
        <v>0.3</v>
      </c>
      <c r="T22" s="3">
        <f t="shared" si="0"/>
        <v>500000000</v>
      </c>
      <c r="U22">
        <v>30</v>
      </c>
      <c r="V22" s="1">
        <v>0.5</v>
      </c>
    </row>
    <row r="23" spans="1:24" x14ac:dyDescent="0.2">
      <c r="A23" t="s">
        <v>25</v>
      </c>
      <c r="B23" t="s">
        <v>100</v>
      </c>
      <c r="C23" t="s">
        <v>94</v>
      </c>
      <c r="D23" t="s">
        <v>26</v>
      </c>
      <c r="E23">
        <v>2</v>
      </c>
      <c r="F23">
        <v>3.523117482259432</v>
      </c>
      <c r="G23">
        <v>88.973470090275285</v>
      </c>
      <c r="H23">
        <v>202.59329269589804</v>
      </c>
      <c r="I23">
        <v>17</v>
      </c>
      <c r="J23" t="s">
        <v>68</v>
      </c>
      <c r="K23">
        <v>0</v>
      </c>
      <c r="L23">
        <v>53</v>
      </c>
      <c r="M23" t="s">
        <v>96</v>
      </c>
      <c r="O23">
        <v>79.8</v>
      </c>
      <c r="P23">
        <v>90.56</v>
      </c>
      <c r="Q23">
        <v>83.6</v>
      </c>
      <c r="R23" s="1">
        <v>1250</v>
      </c>
      <c r="S23" s="1">
        <v>0.3</v>
      </c>
      <c r="T23" s="3">
        <f t="shared" si="0"/>
        <v>500000000</v>
      </c>
      <c r="U23">
        <v>30</v>
      </c>
      <c r="V23" s="1">
        <v>0.5</v>
      </c>
    </row>
    <row r="24" spans="1:24" x14ac:dyDescent="0.2">
      <c r="A24" t="s">
        <v>27</v>
      </c>
      <c r="B24" t="s">
        <v>100</v>
      </c>
      <c r="C24" t="s">
        <v>89</v>
      </c>
      <c r="E24">
        <v>1</v>
      </c>
      <c r="F24">
        <v>6.2360726422038804</v>
      </c>
      <c r="G24">
        <v>119.26804055002242</v>
      </c>
      <c r="H24">
        <v>173.97863449147448</v>
      </c>
      <c r="I24">
        <v>75</v>
      </c>
      <c r="J24" t="s">
        <v>68</v>
      </c>
      <c r="K24">
        <v>0</v>
      </c>
      <c r="L24">
        <v>80</v>
      </c>
      <c r="M24" t="s">
        <v>97</v>
      </c>
      <c r="O24">
        <v>82.7</v>
      </c>
      <c r="P24" s="2">
        <v>89.488135191811949</v>
      </c>
      <c r="Q24">
        <v>85</v>
      </c>
      <c r="R24" s="1">
        <v>1250</v>
      </c>
      <c r="S24" s="1">
        <v>0.3</v>
      </c>
      <c r="T24" s="3">
        <f t="shared" si="0"/>
        <v>500000000</v>
      </c>
      <c r="U24">
        <v>60</v>
      </c>
      <c r="V24" s="1">
        <v>0.5</v>
      </c>
    </row>
    <row r="25" spans="1:24" x14ac:dyDescent="0.2">
      <c r="A25" t="s">
        <v>20</v>
      </c>
      <c r="B25" t="s">
        <v>100</v>
      </c>
      <c r="C25" t="s">
        <v>93</v>
      </c>
      <c r="E25">
        <v>1</v>
      </c>
      <c r="F25">
        <v>43.9</v>
      </c>
      <c r="G25">
        <v>100.1</v>
      </c>
      <c r="H25">
        <v>10.8</v>
      </c>
      <c r="I25">
        <v>116</v>
      </c>
      <c r="J25" t="s">
        <v>68</v>
      </c>
      <c r="K25">
        <v>15</v>
      </c>
      <c r="L25">
        <v>60</v>
      </c>
      <c r="M25">
        <v>35.5</v>
      </c>
      <c r="O25">
        <v>82.59</v>
      </c>
      <c r="P25">
        <v>90.53</v>
      </c>
      <c r="R25" s="1">
        <v>1250</v>
      </c>
      <c r="S25" s="1">
        <v>0.3</v>
      </c>
      <c r="T25" s="3">
        <f t="shared" si="0"/>
        <v>500000000</v>
      </c>
      <c r="U25">
        <v>60</v>
      </c>
      <c r="V25" s="1">
        <v>0.5</v>
      </c>
    </row>
    <row r="26" spans="1:24" x14ac:dyDescent="0.2">
      <c r="A26" t="s">
        <v>91</v>
      </c>
      <c r="B26" t="s">
        <v>100</v>
      </c>
      <c r="C26" t="s">
        <v>90</v>
      </c>
      <c r="E26">
        <v>1</v>
      </c>
      <c r="F26" s="2">
        <v>183.70688489500071</v>
      </c>
      <c r="G26" s="2">
        <v>139.19092900231141</v>
      </c>
      <c r="H26" s="2">
        <v>139.06315941399723</v>
      </c>
      <c r="I26">
        <v>140</v>
      </c>
      <c r="J26" t="s">
        <v>68</v>
      </c>
      <c r="K26">
        <v>0</v>
      </c>
      <c r="L26">
        <v>67</v>
      </c>
      <c r="M26">
        <v>23</v>
      </c>
      <c r="O26">
        <v>84.86</v>
      </c>
      <c r="P26">
        <v>88.14</v>
      </c>
      <c r="R26" s="1">
        <v>1250</v>
      </c>
      <c r="S26" s="1">
        <v>0.3</v>
      </c>
      <c r="T26" s="3">
        <f t="shared" si="0"/>
        <v>500000000</v>
      </c>
      <c r="U26">
        <v>60</v>
      </c>
      <c r="V26" s="1">
        <v>0.5</v>
      </c>
    </row>
    <row r="27" spans="1:24" x14ac:dyDescent="0.2">
      <c r="R27" s="1"/>
    </row>
    <row r="28" spans="1:24" x14ac:dyDescent="0.2">
      <c r="A28" t="s">
        <v>85</v>
      </c>
      <c r="R28" s="1"/>
    </row>
    <row r="29" spans="1:24" x14ac:dyDescent="0.2">
      <c r="A29" t="s">
        <v>84</v>
      </c>
      <c r="K29" s="4"/>
      <c r="L29" s="4"/>
      <c r="R29" s="1"/>
    </row>
    <row r="30" spans="1:24" ht="51" x14ac:dyDescent="0.2">
      <c r="A30" t="s">
        <v>98</v>
      </c>
      <c r="E30">
        <v>1</v>
      </c>
      <c r="F30">
        <v>2.8115039007069496</v>
      </c>
      <c r="G30">
        <v>97.362145168785659</v>
      </c>
      <c r="H30">
        <v>356.70060493664533</v>
      </c>
      <c r="I30">
        <v>87</v>
      </c>
      <c r="J30" t="s">
        <v>68</v>
      </c>
      <c r="K30">
        <v>25</v>
      </c>
      <c r="L30">
        <v>400</v>
      </c>
      <c r="M30">
        <v>69</v>
      </c>
      <c r="O30">
        <v>87</v>
      </c>
      <c r="P30">
        <v>75.95</v>
      </c>
      <c r="R30" s="1">
        <v>1250</v>
      </c>
      <c r="S30" s="1">
        <v>0.3</v>
      </c>
      <c r="T30" s="3">
        <f t="shared" ref="T30" si="1">1000000000/2</f>
        <v>500000000</v>
      </c>
      <c r="U30">
        <v>600</v>
      </c>
      <c r="V30" s="1">
        <v>2</v>
      </c>
      <c r="X30" s="7" t="s">
        <v>103</v>
      </c>
    </row>
    <row r="34" spans="5:17" x14ac:dyDescent="0.2">
      <c r="J34" t="s">
        <v>46</v>
      </c>
      <c r="K34">
        <v>12</v>
      </c>
      <c r="M34">
        <v>22</v>
      </c>
      <c r="O34" s="2">
        <v>83.864542911461129</v>
      </c>
    </row>
    <row r="35" spans="5:17" x14ac:dyDescent="0.2">
      <c r="J35" t="s">
        <v>62</v>
      </c>
      <c r="K35">
        <v>8</v>
      </c>
      <c r="M35">
        <v>22</v>
      </c>
      <c r="O35">
        <v>80.7</v>
      </c>
    </row>
    <row r="36" spans="5:17" x14ac:dyDescent="0.2">
      <c r="J36" t="s">
        <v>48</v>
      </c>
      <c r="K36">
        <v>2</v>
      </c>
      <c r="M36">
        <v>19</v>
      </c>
      <c r="O36">
        <v>82.7</v>
      </c>
    </row>
    <row r="37" spans="5:17" x14ac:dyDescent="0.2">
      <c r="E37">
        <v>88.6</v>
      </c>
      <c r="F37">
        <v>78.8</v>
      </c>
      <c r="G37">
        <v>292.2</v>
      </c>
      <c r="H37">
        <v>40</v>
      </c>
    </row>
    <row r="38" spans="5:17" x14ac:dyDescent="0.2">
      <c r="E38">
        <v>1.4570399999999999</v>
      </c>
      <c r="F38">
        <v>1.3064199999999999</v>
      </c>
      <c r="G38">
        <v>5.1943799999999998</v>
      </c>
    </row>
    <row r="39" spans="5:17" x14ac:dyDescent="0.2">
      <c r="E39">
        <f>DEGREES(E38)</f>
        <v>83.48224258174146</v>
      </c>
      <c r="F39">
        <f t="shared" ref="F39:G39" si="2">DEGREES(F38)</f>
        <v>74.85235227148101</v>
      </c>
      <c r="G39">
        <f t="shared" si="2"/>
        <v>297.61605118716454</v>
      </c>
      <c r="H39">
        <v>36</v>
      </c>
      <c r="J39" t="s">
        <v>58</v>
      </c>
      <c r="K39" s="1">
        <v>2</v>
      </c>
      <c r="L39" s="1">
        <v>48</v>
      </c>
      <c r="M39" t="s">
        <v>75</v>
      </c>
      <c r="O39">
        <v>91.5</v>
      </c>
      <c r="P39" s="1">
        <v>90.2</v>
      </c>
    </row>
    <row r="41" spans="5:17" x14ac:dyDescent="0.2">
      <c r="J41" t="s">
        <v>59</v>
      </c>
      <c r="K41">
        <v>3</v>
      </c>
      <c r="L41">
        <v>55</v>
      </c>
      <c r="M41" t="s">
        <v>76</v>
      </c>
    </row>
    <row r="44" spans="5:17" x14ac:dyDescent="0.2">
      <c r="M44" t="s">
        <v>77</v>
      </c>
      <c r="N44">
        <v>5</v>
      </c>
      <c r="O44">
        <v>90.7</v>
      </c>
      <c r="P44">
        <v>89.65</v>
      </c>
      <c r="Q44">
        <v>91.5</v>
      </c>
    </row>
    <row r="45" spans="5:17" x14ac:dyDescent="0.2">
      <c r="M45" t="s">
        <v>80</v>
      </c>
    </row>
    <row r="47" spans="5:17" x14ac:dyDescent="0.2">
      <c r="M47" s="5" t="s">
        <v>78</v>
      </c>
    </row>
    <row r="48" spans="5:17" x14ac:dyDescent="0.2">
      <c r="M48" s="4"/>
    </row>
  </sheetData>
  <phoneticPr fontId="3" type="noConversion"/>
  <conditionalFormatting sqref="O15:O17">
    <cfRule type="cellIs" dxfId="2" priority="2" operator="lessThan">
      <formula>83</formula>
    </cfRule>
  </conditionalFormatting>
  <conditionalFormatting sqref="O34">
    <cfRule type="cellIs" dxfId="1" priority="1" operator="lessThan">
      <formula>83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108E-C190-8F41-B5A5-8305E6D459E2}">
  <dimension ref="A1:W26"/>
  <sheetViews>
    <sheetView workbookViewId="0">
      <selection activeCell="A18" sqref="A18:XFD18"/>
    </sheetView>
  </sheetViews>
  <sheetFormatPr baseColWidth="10" defaultRowHeight="16" x14ac:dyDescent="0.2"/>
  <sheetData>
    <row r="1" spans="1:23" x14ac:dyDescent="0.2">
      <c r="A1" t="s">
        <v>0</v>
      </c>
      <c r="B1" t="s">
        <v>41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t="s">
        <v>6</v>
      </c>
      <c r="I1" t="s">
        <v>7</v>
      </c>
      <c r="J1" t="s">
        <v>67</v>
      </c>
      <c r="K1" s="1" t="s">
        <v>8</v>
      </c>
      <c r="L1" s="1" t="s">
        <v>9</v>
      </c>
      <c r="M1" s="1" t="s">
        <v>39</v>
      </c>
      <c r="N1" s="1" t="s">
        <v>65</v>
      </c>
      <c r="O1" s="1" t="s">
        <v>10</v>
      </c>
      <c r="P1" s="1" t="s">
        <v>11</v>
      </c>
      <c r="Q1" s="1" t="s">
        <v>72</v>
      </c>
      <c r="R1" s="1" t="s">
        <v>12</v>
      </c>
      <c r="S1" s="1" t="s">
        <v>70</v>
      </c>
      <c r="T1" s="1" t="s">
        <v>28</v>
      </c>
      <c r="U1" s="1" t="s">
        <v>29</v>
      </c>
      <c r="V1" s="1" t="s">
        <v>30</v>
      </c>
      <c r="W1" s="1" t="s">
        <v>61</v>
      </c>
    </row>
    <row r="2" spans="1:23" x14ac:dyDescent="0.2">
      <c r="A2" t="s">
        <v>14</v>
      </c>
      <c r="C2" t="s">
        <v>58</v>
      </c>
      <c r="D2" t="s">
        <v>15</v>
      </c>
      <c r="E2">
        <v>1</v>
      </c>
      <c r="F2">
        <v>168.5</v>
      </c>
      <c r="G2">
        <v>25.8</v>
      </c>
      <c r="H2">
        <v>298.5</v>
      </c>
      <c r="I2">
        <v>175.5</v>
      </c>
      <c r="J2" t="s">
        <v>68</v>
      </c>
      <c r="K2" s="1">
        <v>2</v>
      </c>
      <c r="L2" s="1">
        <v>48</v>
      </c>
      <c r="M2" t="s">
        <v>75</v>
      </c>
      <c r="N2">
        <v>5</v>
      </c>
      <c r="O2">
        <v>91.5</v>
      </c>
      <c r="P2" s="1">
        <v>90.2</v>
      </c>
      <c r="Q2" s="1">
        <v>93</v>
      </c>
      <c r="R2" s="1">
        <v>1250</v>
      </c>
      <c r="S2" s="1">
        <v>0.3</v>
      </c>
      <c r="T2" s="3">
        <f>1000000000/2</f>
        <v>500000000</v>
      </c>
      <c r="U2">
        <v>60</v>
      </c>
      <c r="V2" s="1">
        <v>0.5</v>
      </c>
    </row>
    <row r="3" spans="1:23" x14ac:dyDescent="0.2">
      <c r="A3" t="s">
        <v>14</v>
      </c>
      <c r="D3" t="s">
        <v>16</v>
      </c>
      <c r="E3">
        <v>3</v>
      </c>
      <c r="F3">
        <v>168.5</v>
      </c>
      <c r="G3">
        <v>25.8</v>
      </c>
      <c r="H3">
        <v>298.5</v>
      </c>
      <c r="I3">
        <v>-9</v>
      </c>
      <c r="R3" s="1"/>
      <c r="S3" s="1"/>
      <c r="T3" s="3">
        <f t="shared" ref="T3:T21" si="0">1000000000/2</f>
        <v>500000000</v>
      </c>
      <c r="U3">
        <v>60</v>
      </c>
      <c r="V3" s="1">
        <v>0.5</v>
      </c>
    </row>
    <row r="4" spans="1:23" x14ac:dyDescent="0.2">
      <c r="A4" t="s">
        <v>14</v>
      </c>
      <c r="C4" t="s">
        <v>59</v>
      </c>
      <c r="D4" t="s">
        <v>15</v>
      </c>
      <c r="E4">
        <v>2</v>
      </c>
      <c r="F4">
        <v>168.5</v>
      </c>
      <c r="G4">
        <v>25.8</v>
      </c>
      <c r="H4">
        <v>298.5</v>
      </c>
      <c r="I4">
        <v>100</v>
      </c>
      <c r="J4" t="s">
        <v>68</v>
      </c>
      <c r="K4">
        <v>3</v>
      </c>
      <c r="L4">
        <v>55</v>
      </c>
      <c r="M4" t="s">
        <v>76</v>
      </c>
      <c r="N4">
        <v>5</v>
      </c>
      <c r="O4">
        <v>91.92</v>
      </c>
      <c r="P4">
        <v>90.46</v>
      </c>
      <c r="Q4">
        <v>93</v>
      </c>
      <c r="R4" s="1">
        <v>1250</v>
      </c>
      <c r="S4" s="1">
        <v>0.3</v>
      </c>
      <c r="T4" s="3">
        <f t="shared" si="0"/>
        <v>500000000</v>
      </c>
      <c r="U4">
        <v>60</v>
      </c>
      <c r="V4" s="1">
        <v>0.5</v>
      </c>
    </row>
    <row r="5" spans="1:23" x14ac:dyDescent="0.2">
      <c r="A5" t="s">
        <v>14</v>
      </c>
      <c r="D5" t="s">
        <v>16</v>
      </c>
      <c r="E5">
        <v>4</v>
      </c>
      <c r="F5">
        <v>168.5</v>
      </c>
      <c r="G5">
        <v>25.8</v>
      </c>
      <c r="H5">
        <v>298.5</v>
      </c>
      <c r="I5">
        <v>104</v>
      </c>
      <c r="R5" s="1"/>
      <c r="S5" s="1"/>
      <c r="T5" s="3">
        <f t="shared" si="0"/>
        <v>500000000</v>
      </c>
      <c r="U5">
        <v>60</v>
      </c>
      <c r="V5" s="1">
        <v>0.5</v>
      </c>
    </row>
    <row r="6" spans="1:23" x14ac:dyDescent="0.2">
      <c r="A6" t="s">
        <v>17</v>
      </c>
      <c r="F6">
        <v>111.3</v>
      </c>
      <c r="G6">
        <v>194</v>
      </c>
      <c r="H6">
        <v>28.2</v>
      </c>
      <c r="R6" s="1"/>
      <c r="S6" s="1"/>
      <c r="T6" s="3">
        <f t="shared" si="0"/>
        <v>500000000</v>
      </c>
      <c r="U6">
        <v>60</v>
      </c>
      <c r="V6" s="1">
        <v>0.5</v>
      </c>
    </row>
    <row r="7" spans="1:23" x14ac:dyDescent="0.2">
      <c r="A7" t="s">
        <v>18</v>
      </c>
      <c r="C7" t="s">
        <v>60</v>
      </c>
      <c r="D7" t="s">
        <v>15</v>
      </c>
      <c r="F7">
        <v>132.69999999999999</v>
      </c>
      <c r="G7">
        <v>34.5</v>
      </c>
      <c r="H7">
        <v>312</v>
      </c>
      <c r="I7">
        <v>5</v>
      </c>
      <c r="J7" t="s">
        <v>68</v>
      </c>
      <c r="K7">
        <v>2</v>
      </c>
      <c r="L7">
        <v>48</v>
      </c>
      <c r="M7">
        <v>18</v>
      </c>
      <c r="N7">
        <v>4</v>
      </c>
      <c r="O7">
        <v>92.93</v>
      </c>
      <c r="P7">
        <v>90.5</v>
      </c>
      <c r="R7" s="1">
        <v>1250</v>
      </c>
      <c r="S7" s="1">
        <v>0.3</v>
      </c>
      <c r="T7" s="3">
        <f t="shared" si="0"/>
        <v>500000000</v>
      </c>
      <c r="U7">
        <v>60</v>
      </c>
      <c r="V7" s="1">
        <v>0.5</v>
      </c>
    </row>
    <row r="8" spans="1:23" x14ac:dyDescent="0.2">
      <c r="A8" t="s">
        <v>19</v>
      </c>
      <c r="C8" t="s">
        <v>71</v>
      </c>
      <c r="D8" t="s">
        <v>15</v>
      </c>
      <c r="F8">
        <v>88.6</v>
      </c>
      <c r="G8">
        <v>78.8</v>
      </c>
      <c r="H8">
        <v>292.2</v>
      </c>
      <c r="I8">
        <v>40</v>
      </c>
      <c r="J8" t="s">
        <v>68</v>
      </c>
      <c r="K8">
        <v>0</v>
      </c>
      <c r="L8">
        <v>34</v>
      </c>
      <c r="M8">
        <v>17</v>
      </c>
      <c r="N8">
        <v>5</v>
      </c>
      <c r="O8">
        <v>93.2</v>
      </c>
      <c r="P8">
        <v>90.7</v>
      </c>
      <c r="R8" s="1">
        <v>1250</v>
      </c>
      <c r="S8" s="1">
        <v>0.3</v>
      </c>
      <c r="T8" s="3">
        <f t="shared" si="0"/>
        <v>500000000</v>
      </c>
      <c r="U8">
        <v>60</v>
      </c>
      <c r="V8" s="1">
        <v>0.5</v>
      </c>
    </row>
    <row r="9" spans="1:23" x14ac:dyDescent="0.2">
      <c r="A9" t="s">
        <v>21</v>
      </c>
      <c r="C9" t="s">
        <v>22</v>
      </c>
      <c r="D9" t="s">
        <v>15</v>
      </c>
      <c r="E9">
        <v>1</v>
      </c>
      <c r="F9">
        <v>202.3</v>
      </c>
      <c r="G9">
        <v>103.8</v>
      </c>
      <c r="H9">
        <v>320.5</v>
      </c>
      <c r="I9">
        <v>109</v>
      </c>
      <c r="J9" t="s">
        <v>68</v>
      </c>
      <c r="K9">
        <v>3</v>
      </c>
      <c r="L9">
        <v>80</v>
      </c>
      <c r="M9" t="s">
        <v>73</v>
      </c>
      <c r="N9">
        <v>2</v>
      </c>
      <c r="O9">
        <v>91.4</v>
      </c>
      <c r="P9">
        <v>89.69</v>
      </c>
      <c r="Q9">
        <v>93</v>
      </c>
      <c r="R9" s="1">
        <v>1250</v>
      </c>
      <c r="S9" s="1">
        <v>0.3</v>
      </c>
      <c r="T9" s="3">
        <f t="shared" si="0"/>
        <v>500000000</v>
      </c>
      <c r="U9">
        <v>60</v>
      </c>
      <c r="V9" s="1">
        <v>0.5</v>
      </c>
    </row>
    <row r="10" spans="1:23" x14ac:dyDescent="0.2">
      <c r="A10" t="s">
        <v>21</v>
      </c>
      <c r="D10" t="s">
        <v>16</v>
      </c>
      <c r="E10">
        <v>2</v>
      </c>
      <c r="F10">
        <v>202.3</v>
      </c>
      <c r="G10">
        <v>103.8</v>
      </c>
      <c r="H10">
        <v>320.5</v>
      </c>
      <c r="I10">
        <v>90</v>
      </c>
      <c r="R10" s="1"/>
      <c r="S10" s="1"/>
      <c r="T10" s="3">
        <f t="shared" si="0"/>
        <v>500000000</v>
      </c>
      <c r="U10">
        <v>60</v>
      </c>
      <c r="V10" s="1">
        <v>0.5</v>
      </c>
    </row>
    <row r="11" spans="1:23" x14ac:dyDescent="0.2">
      <c r="A11" t="s">
        <v>23</v>
      </c>
      <c r="C11" t="s">
        <v>24</v>
      </c>
      <c r="D11" t="s">
        <v>15</v>
      </c>
      <c r="E11">
        <v>1</v>
      </c>
      <c r="F11">
        <v>7</v>
      </c>
      <c r="G11">
        <v>150.9</v>
      </c>
      <c r="H11">
        <v>245.3</v>
      </c>
      <c r="I11">
        <v>113</v>
      </c>
      <c r="J11" t="s">
        <v>68</v>
      </c>
      <c r="K11">
        <v>0</v>
      </c>
      <c r="L11">
        <v>47</v>
      </c>
      <c r="M11">
        <v>15</v>
      </c>
      <c r="N11">
        <v>5</v>
      </c>
      <c r="O11">
        <v>91.5</v>
      </c>
      <c r="P11">
        <v>89.68</v>
      </c>
      <c r="R11" s="1">
        <v>1250</v>
      </c>
      <c r="S11" s="1">
        <v>0.3</v>
      </c>
      <c r="T11" s="3">
        <f t="shared" si="0"/>
        <v>500000000</v>
      </c>
      <c r="U11">
        <v>60</v>
      </c>
      <c r="V11" s="1">
        <v>0.5</v>
      </c>
    </row>
    <row r="12" spans="1:23" x14ac:dyDescent="0.2">
      <c r="A12" t="s">
        <v>23</v>
      </c>
      <c r="D12" t="s">
        <v>16</v>
      </c>
      <c r="E12">
        <v>2</v>
      </c>
      <c r="F12">
        <v>7</v>
      </c>
      <c r="G12">
        <v>150.9</v>
      </c>
      <c r="H12">
        <v>245.3</v>
      </c>
      <c r="I12">
        <v>90</v>
      </c>
      <c r="R12" s="1"/>
      <c r="S12" s="1"/>
      <c r="T12" s="3">
        <f t="shared" si="0"/>
        <v>500000000</v>
      </c>
      <c r="U12">
        <v>60</v>
      </c>
      <c r="V12" s="1">
        <v>0.5</v>
      </c>
    </row>
    <row r="13" spans="1:23" x14ac:dyDescent="0.2">
      <c r="A13" t="s">
        <v>42</v>
      </c>
      <c r="C13" t="s">
        <v>40</v>
      </c>
      <c r="D13" t="s">
        <v>16</v>
      </c>
      <c r="E13">
        <v>1</v>
      </c>
      <c r="F13">
        <v>16.7</v>
      </c>
      <c r="G13">
        <v>17.399999999999999</v>
      </c>
      <c r="H13">
        <v>57.6</v>
      </c>
      <c r="I13">
        <v>170</v>
      </c>
      <c r="R13" s="1"/>
      <c r="S13" s="1"/>
      <c r="T13" s="3">
        <f t="shared" si="0"/>
        <v>500000000</v>
      </c>
      <c r="U13">
        <v>60</v>
      </c>
      <c r="V13" s="1">
        <v>0.5</v>
      </c>
    </row>
    <row r="14" spans="1:23" x14ac:dyDescent="0.2">
      <c r="A14" t="s">
        <v>45</v>
      </c>
      <c r="C14" t="s">
        <v>44</v>
      </c>
      <c r="D14" t="s">
        <v>26</v>
      </c>
      <c r="E14">
        <v>1</v>
      </c>
      <c r="F14">
        <v>77</v>
      </c>
      <c r="G14">
        <v>61.2</v>
      </c>
      <c r="H14">
        <v>334.2</v>
      </c>
      <c r="I14">
        <v>-80</v>
      </c>
      <c r="J14" t="s">
        <v>68</v>
      </c>
      <c r="K14">
        <v>2.5</v>
      </c>
      <c r="L14">
        <v>72</v>
      </c>
      <c r="M14">
        <v>24</v>
      </c>
      <c r="N14">
        <v>2</v>
      </c>
      <c r="O14">
        <v>91.46</v>
      </c>
      <c r="P14">
        <v>89.85</v>
      </c>
      <c r="R14" s="1">
        <v>1250</v>
      </c>
      <c r="S14" s="1">
        <v>0.3</v>
      </c>
      <c r="T14" s="3">
        <f t="shared" si="0"/>
        <v>500000000</v>
      </c>
      <c r="U14">
        <v>60</v>
      </c>
      <c r="V14" s="1">
        <v>0.5</v>
      </c>
    </row>
    <row r="15" spans="1:23" x14ac:dyDescent="0.2">
      <c r="A15" t="s">
        <v>47</v>
      </c>
      <c r="B15" t="s">
        <v>64</v>
      </c>
      <c r="C15" t="s">
        <v>46</v>
      </c>
      <c r="D15" t="s">
        <v>26</v>
      </c>
      <c r="E15">
        <v>1</v>
      </c>
      <c r="F15">
        <v>92.7</v>
      </c>
      <c r="G15">
        <v>125.7</v>
      </c>
      <c r="H15">
        <v>244.4</v>
      </c>
      <c r="I15">
        <v>180</v>
      </c>
      <c r="J15" t="s">
        <v>68</v>
      </c>
      <c r="K15">
        <v>0</v>
      </c>
      <c r="L15">
        <v>60</v>
      </c>
      <c r="M15">
        <v>0</v>
      </c>
      <c r="N15">
        <v>2</v>
      </c>
      <c r="O15" s="2">
        <v>80</v>
      </c>
      <c r="P15">
        <v>89.49</v>
      </c>
      <c r="R15" s="1">
        <v>1250</v>
      </c>
      <c r="S15" s="1">
        <v>0.3</v>
      </c>
      <c r="T15" s="3">
        <f t="shared" si="0"/>
        <v>500000000</v>
      </c>
      <c r="U15">
        <v>60</v>
      </c>
      <c r="V15" s="1">
        <v>0.5</v>
      </c>
    </row>
    <row r="16" spans="1:23" x14ac:dyDescent="0.2">
      <c r="A16" t="s">
        <v>49</v>
      </c>
      <c r="B16" t="s">
        <v>64</v>
      </c>
      <c r="C16" t="s">
        <v>62</v>
      </c>
      <c r="D16" t="s">
        <v>15</v>
      </c>
      <c r="E16">
        <v>2</v>
      </c>
      <c r="F16">
        <v>23.5</v>
      </c>
      <c r="G16">
        <v>132.5</v>
      </c>
      <c r="H16">
        <v>359.4</v>
      </c>
      <c r="I16">
        <v>177</v>
      </c>
      <c r="J16" t="s">
        <v>68</v>
      </c>
      <c r="K16">
        <v>0</v>
      </c>
      <c r="L16">
        <v>80</v>
      </c>
      <c r="M16">
        <v>0</v>
      </c>
      <c r="N16">
        <v>2</v>
      </c>
      <c r="O16">
        <v>80.7</v>
      </c>
      <c r="P16">
        <v>89.7</v>
      </c>
      <c r="R16" s="1">
        <v>1250</v>
      </c>
      <c r="S16" s="1">
        <v>0.3</v>
      </c>
      <c r="T16" s="3">
        <f t="shared" si="0"/>
        <v>500000000</v>
      </c>
      <c r="U16">
        <v>60</v>
      </c>
      <c r="V16" s="1">
        <v>0.5</v>
      </c>
      <c r="W16" t="s">
        <v>63</v>
      </c>
    </row>
    <row r="17" spans="1:23" x14ac:dyDescent="0.2">
      <c r="A17" t="s">
        <v>49</v>
      </c>
      <c r="B17" t="s">
        <v>64</v>
      </c>
      <c r="C17" t="s">
        <v>48</v>
      </c>
      <c r="D17" t="s">
        <v>15</v>
      </c>
      <c r="E17">
        <v>1</v>
      </c>
      <c r="F17">
        <v>23.5</v>
      </c>
      <c r="G17">
        <v>132.5</v>
      </c>
      <c r="H17">
        <v>359.4</v>
      </c>
      <c r="I17">
        <v>177</v>
      </c>
      <c r="J17" t="s">
        <v>68</v>
      </c>
      <c r="K17">
        <v>0</v>
      </c>
      <c r="L17">
        <v>60</v>
      </c>
      <c r="M17">
        <v>0</v>
      </c>
      <c r="N17">
        <v>2</v>
      </c>
      <c r="O17">
        <v>82.7</v>
      </c>
      <c r="P17">
        <v>89.7</v>
      </c>
      <c r="R17" s="1">
        <v>1250</v>
      </c>
      <c r="S17" s="1">
        <v>0.3</v>
      </c>
      <c r="T17" s="3">
        <f t="shared" si="0"/>
        <v>500000000</v>
      </c>
      <c r="U17">
        <v>60</v>
      </c>
      <c r="V17" s="1">
        <v>0.5</v>
      </c>
      <c r="W17" t="s">
        <v>63</v>
      </c>
    </row>
    <row r="18" spans="1:23" x14ac:dyDescent="0.2">
      <c r="A18" t="s">
        <v>51</v>
      </c>
      <c r="C18" t="s">
        <v>50</v>
      </c>
      <c r="D18" t="s">
        <v>26</v>
      </c>
      <c r="E18">
        <v>1</v>
      </c>
      <c r="F18">
        <v>359.2</v>
      </c>
      <c r="G18">
        <v>11.6</v>
      </c>
      <c r="H18">
        <v>63.1</v>
      </c>
      <c r="I18">
        <v>-130</v>
      </c>
      <c r="J18" t="s">
        <v>68</v>
      </c>
      <c r="K18">
        <v>2</v>
      </c>
      <c r="L18">
        <v>80</v>
      </c>
      <c r="M18">
        <v>2</v>
      </c>
      <c r="O18">
        <v>90.6</v>
      </c>
      <c r="P18">
        <v>89.6</v>
      </c>
      <c r="R18" s="1">
        <v>1250</v>
      </c>
      <c r="S18" s="1">
        <v>0.3</v>
      </c>
      <c r="T18" s="3">
        <f t="shared" si="0"/>
        <v>500000000</v>
      </c>
      <c r="U18">
        <v>60</v>
      </c>
      <c r="V18" s="1">
        <v>0.5</v>
      </c>
      <c r="W18" t="s">
        <v>66</v>
      </c>
    </row>
    <row r="19" spans="1:23" x14ac:dyDescent="0.2">
      <c r="A19" t="s">
        <v>53</v>
      </c>
      <c r="C19" t="s">
        <v>52</v>
      </c>
      <c r="D19" t="s">
        <v>26</v>
      </c>
      <c r="E19">
        <v>1</v>
      </c>
      <c r="F19">
        <v>281.8</v>
      </c>
      <c r="G19">
        <v>87.2</v>
      </c>
      <c r="H19">
        <v>358.8</v>
      </c>
      <c r="I19">
        <v>5</v>
      </c>
      <c r="J19" t="s">
        <v>68</v>
      </c>
      <c r="K19">
        <v>2</v>
      </c>
      <c r="L19">
        <v>100</v>
      </c>
      <c r="M19" t="s">
        <v>79</v>
      </c>
      <c r="N19">
        <v>5</v>
      </c>
      <c r="O19">
        <v>90.6</v>
      </c>
      <c r="P19">
        <v>89.65</v>
      </c>
      <c r="Q19">
        <v>91.5</v>
      </c>
      <c r="R19" s="1">
        <v>1250</v>
      </c>
      <c r="S19" s="1">
        <v>0.3</v>
      </c>
      <c r="T19" s="3">
        <f t="shared" si="0"/>
        <v>500000000</v>
      </c>
      <c r="U19">
        <v>60</v>
      </c>
      <c r="V19" s="1">
        <v>0.5</v>
      </c>
    </row>
    <row r="20" spans="1:23" x14ac:dyDescent="0.2">
      <c r="A20" t="s">
        <v>55</v>
      </c>
      <c r="C20" t="s">
        <v>54</v>
      </c>
      <c r="E20">
        <v>1</v>
      </c>
      <c r="F20">
        <v>52.6</v>
      </c>
      <c r="G20">
        <v>147.19999999999999</v>
      </c>
      <c r="H20">
        <v>191.9</v>
      </c>
      <c r="I20">
        <v>150</v>
      </c>
      <c r="J20" t="s">
        <v>68</v>
      </c>
      <c r="K20">
        <v>2</v>
      </c>
      <c r="L20">
        <v>90</v>
      </c>
      <c r="M20">
        <v>34</v>
      </c>
      <c r="N20">
        <v>5</v>
      </c>
      <c r="O20">
        <v>91.6</v>
      </c>
      <c r="P20">
        <v>89.6</v>
      </c>
      <c r="R20" s="1">
        <v>1250</v>
      </c>
      <c r="S20" s="1">
        <v>0.3</v>
      </c>
      <c r="T20" s="3">
        <f t="shared" si="0"/>
        <v>500000000</v>
      </c>
      <c r="U20">
        <v>60</v>
      </c>
      <c r="V20" s="1">
        <v>0.5</v>
      </c>
      <c r="W20" t="s">
        <v>74</v>
      </c>
    </row>
    <row r="21" spans="1:23" x14ac:dyDescent="0.2">
      <c r="A21" t="s">
        <v>56</v>
      </c>
      <c r="C21" t="s">
        <v>57</v>
      </c>
      <c r="E21">
        <v>1</v>
      </c>
      <c r="F21">
        <v>332.7</v>
      </c>
      <c r="G21">
        <v>76.8</v>
      </c>
      <c r="H21">
        <v>16.899999999999999</v>
      </c>
      <c r="I21">
        <v>120</v>
      </c>
      <c r="J21" t="s">
        <v>68</v>
      </c>
      <c r="K21">
        <v>7</v>
      </c>
      <c r="L21">
        <v>100</v>
      </c>
      <c r="M21">
        <v>7</v>
      </c>
      <c r="O21">
        <v>91</v>
      </c>
      <c r="P21">
        <v>89.6</v>
      </c>
      <c r="R21" s="1">
        <v>1250</v>
      </c>
      <c r="S21" s="1">
        <v>0.3</v>
      </c>
      <c r="T21" s="3">
        <f t="shared" si="0"/>
        <v>500000000</v>
      </c>
      <c r="U21">
        <v>60</v>
      </c>
      <c r="V21" s="1">
        <v>0.5</v>
      </c>
    </row>
    <row r="22" spans="1:23" x14ac:dyDescent="0.2">
      <c r="A22" t="s">
        <v>25</v>
      </c>
      <c r="B22" t="s">
        <v>43</v>
      </c>
      <c r="D22" t="s">
        <v>26</v>
      </c>
      <c r="E22">
        <v>1</v>
      </c>
      <c r="F22">
        <v>3.523117482259432</v>
      </c>
      <c r="G22">
        <v>88.973470090275285</v>
      </c>
      <c r="H22">
        <v>202.59329269589804</v>
      </c>
      <c r="I22">
        <v>8</v>
      </c>
    </row>
    <row r="23" spans="1:23" x14ac:dyDescent="0.2">
      <c r="A23" t="s">
        <v>25</v>
      </c>
      <c r="B23" t="s">
        <v>43</v>
      </c>
      <c r="D23" t="s">
        <v>26</v>
      </c>
      <c r="E23">
        <v>2</v>
      </c>
      <c r="F23">
        <v>3.523117482259432</v>
      </c>
      <c r="G23">
        <v>88.973470090275285</v>
      </c>
      <c r="H23">
        <v>202.59329269589804</v>
      </c>
      <c r="I23">
        <v>17</v>
      </c>
    </row>
    <row r="24" spans="1:23" x14ac:dyDescent="0.2">
      <c r="A24" t="s">
        <v>27</v>
      </c>
      <c r="B24" t="s">
        <v>43</v>
      </c>
      <c r="F24">
        <v>6.2360726422038804</v>
      </c>
      <c r="G24">
        <v>119.26804055002242</v>
      </c>
      <c r="H24">
        <v>173.97863449147448</v>
      </c>
      <c r="I24">
        <v>75</v>
      </c>
    </row>
    <row r="25" spans="1:23" x14ac:dyDescent="0.2">
      <c r="A25" t="s">
        <v>20</v>
      </c>
      <c r="B25" t="s">
        <v>43</v>
      </c>
      <c r="F25">
        <v>43.9</v>
      </c>
      <c r="G25">
        <v>100.1</v>
      </c>
      <c r="H25">
        <v>10.8</v>
      </c>
      <c r="I25">
        <v>116</v>
      </c>
    </row>
    <row r="26" spans="1:23" x14ac:dyDescent="0.2">
      <c r="M26" t="s">
        <v>80</v>
      </c>
    </row>
  </sheetData>
  <conditionalFormatting sqref="O15">
    <cfRule type="cellIs" dxfId="0" priority="1" operator="lessThan">
      <formula>83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D9DC-C819-E043-BA55-8083C5DABA24}">
  <dimension ref="A1:R3"/>
  <sheetViews>
    <sheetView topLeftCell="H1" workbookViewId="0">
      <selection activeCell="S1" sqref="S1"/>
    </sheetView>
  </sheetViews>
  <sheetFormatPr baseColWidth="10" defaultRowHeight="16" x14ac:dyDescent="0.2"/>
  <cols>
    <col min="8" max="8" width="29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28</v>
      </c>
      <c r="Q1" s="1" t="s">
        <v>29</v>
      </c>
      <c r="R1" s="1" t="s">
        <v>30</v>
      </c>
    </row>
    <row r="2" spans="1:18" x14ac:dyDescent="0.2">
      <c r="E2" t="s">
        <v>31</v>
      </c>
      <c r="F2" t="s">
        <v>31</v>
      </c>
      <c r="G2" t="s">
        <v>31</v>
      </c>
      <c r="H2" t="s">
        <v>32</v>
      </c>
      <c r="J2" t="s">
        <v>33</v>
      </c>
      <c r="K2" t="s">
        <v>33</v>
      </c>
      <c r="L2" t="s">
        <v>34</v>
      </c>
      <c r="M2" t="s">
        <v>34</v>
      </c>
      <c r="N2" t="s">
        <v>38</v>
      </c>
      <c r="O2" t="s">
        <v>37</v>
      </c>
      <c r="P2" t="s">
        <v>37</v>
      </c>
      <c r="Q2" t="s">
        <v>35</v>
      </c>
      <c r="R2" t="s">
        <v>36</v>
      </c>
    </row>
    <row r="3" spans="1:18" x14ac:dyDescent="0.2">
      <c r="O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alt as of 7 19 22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Towbin</dc:creator>
  <cp:lastModifiedBy>Henry Towbin</cp:lastModifiedBy>
  <dcterms:created xsi:type="dcterms:W3CDTF">2022-07-07T21:04:59Z</dcterms:created>
  <dcterms:modified xsi:type="dcterms:W3CDTF">2026-01-19T19:37:41Z</dcterms:modified>
</cp:coreProperties>
</file>